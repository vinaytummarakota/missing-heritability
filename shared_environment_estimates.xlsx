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Srivinay Tummarakota\Documents\VinaysDocs\Unboxing Politics\Missing Heritability\"/>
    </mc:Choice>
  </mc:AlternateContent>
  <xr:revisionPtr revIDLastSave="0" documentId="13_ncr:1_{B87E3DFE-AFC5-46AC-94FC-86D884B1B0D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" i="1" l="1"/>
  <c r="I4" i="1" s="1"/>
  <c r="K4" i="1" s="1"/>
  <c r="H4" i="1"/>
  <c r="J4" i="1"/>
  <c r="L4" i="1"/>
  <c r="M4" i="1"/>
  <c r="Q4" i="1" s="1"/>
  <c r="N4" i="1"/>
  <c r="R4" i="1" s="1"/>
  <c r="O4" i="1"/>
  <c r="P4" i="1"/>
  <c r="C4" i="1"/>
  <c r="B4" i="1"/>
  <c r="L3" i="1"/>
  <c r="G3" i="1"/>
  <c r="H3" i="1"/>
  <c r="M3" i="1"/>
  <c r="Q3" i="1" s="1"/>
  <c r="N3" i="1"/>
  <c r="R3" i="1" s="1"/>
  <c r="O3" i="1"/>
  <c r="P3" i="1" s="1"/>
  <c r="N2" i="1"/>
  <c r="R2" i="1" s="1"/>
  <c r="H2" i="1"/>
  <c r="O2" i="1"/>
  <c r="P2" i="1" s="1"/>
  <c r="M2" i="1"/>
  <c r="Q2" i="1" s="1"/>
  <c r="G2" i="1"/>
  <c r="I3" i="1" l="1"/>
  <c r="K3" i="1" s="1"/>
  <c r="J3" i="1"/>
  <c r="J2" i="1"/>
  <c r="L2" i="1"/>
  <c r="I2" i="1"/>
  <c r="K2" i="1" s="1"/>
</calcChain>
</file>

<file path=xl/sharedStrings.xml><?xml version="1.0" encoding="utf-8"?>
<sst xmlns="http://schemas.openxmlformats.org/spreadsheetml/2006/main" count="21" uniqueCount="21">
  <si>
    <t>Minnesota</t>
  </si>
  <si>
    <t>r_MZ</t>
  </si>
  <si>
    <t>r_DZ</t>
  </si>
  <si>
    <t>r_BS</t>
  </si>
  <si>
    <t>r_AS</t>
  </si>
  <si>
    <t>twin_a^2</t>
  </si>
  <si>
    <t>am_adjusted_twin_a^2</t>
  </si>
  <si>
    <t>adoption_a^2</t>
  </si>
  <si>
    <t>am_adjusted_adoption_a^2</t>
  </si>
  <si>
    <t>twin_c^2</t>
  </si>
  <si>
    <t>am_adjusted_twin_c^2</t>
  </si>
  <si>
    <t>adoption_c^2</t>
  </si>
  <si>
    <t>Sweden</t>
  </si>
  <si>
    <t>twin_effect_ratio</t>
  </si>
  <si>
    <t>am_adjusted_twin_effect_ratio</t>
  </si>
  <si>
    <t>adoption_effect_ratio</t>
  </si>
  <si>
    <t>am_adjusted_adoption_effect_ratio</t>
  </si>
  <si>
    <t>Norway</t>
  </si>
  <si>
    <t>m</t>
  </si>
  <si>
    <r>
      <rPr>
        <sz val="11"/>
        <color rgb="FFFF0000"/>
        <rFont val="Calibri"/>
        <family val="2"/>
        <scheme val="minor"/>
      </rPr>
      <t>*</t>
    </r>
    <r>
      <rPr>
        <sz val="11"/>
        <color theme="1"/>
        <rFont val="Calibri"/>
        <family val="2"/>
        <scheme val="minor"/>
      </rPr>
      <t>Minnesota r_AS calculated by meta-analyzing the adoptive-biological sibling and adoptive-adoptive sibling correlations (using Fisher z-transformation)</t>
    </r>
  </si>
  <si>
    <t>am_adjusted_adoption_c^2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</si>
</sst>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6"/>
  <sheetViews>
    <sheetView tabSelected="1" workbookViewId="0">
      <selection activeCell="K12" sqref="K12"/>
    </sheetView>
  </sheetViews>
  <sheetFormatPr defaultRowHeight="14.4" x14ac:dyDescent="0.3"/>
  <cols>
    <col min="1" max="1" width="9.6640625" bestFit="1" customWidth="1"/>
    <col min="8" max="8" width="20.21875" bestFit="1" customWidth="1"/>
    <col min="9" max="9" width="8.44140625" bestFit="1" customWidth="1"/>
    <col min="10" max="10" width="20.109375" bestFit="1" customWidth="1"/>
    <col min="11" max="11" width="20.109375" customWidth="1"/>
    <col min="12" max="12" width="27.21875" bestFit="1" customWidth="1"/>
    <col min="13" max="13" width="12.33203125" bestFit="1" customWidth="1"/>
    <col min="14" max="14" width="24.109375" bestFit="1" customWidth="1"/>
    <col min="15" max="15" width="12.21875" bestFit="1" customWidth="1"/>
    <col min="16" max="16" width="20.109375" bestFit="1" customWidth="1"/>
    <col min="17" max="17" width="15" bestFit="1" customWidth="1"/>
  </cols>
  <sheetData>
    <row r="1" spans="1:18" x14ac:dyDescent="0.3">
      <c r="B1" t="s">
        <v>1</v>
      </c>
      <c r="C1" t="s">
        <v>2</v>
      </c>
      <c r="D1" t="s">
        <v>3</v>
      </c>
      <c r="E1" t="s">
        <v>4</v>
      </c>
      <c r="F1" t="s">
        <v>18</v>
      </c>
      <c r="G1" t="s">
        <v>5</v>
      </c>
      <c r="H1" t="s">
        <v>6</v>
      </c>
      <c r="I1" t="s">
        <v>9</v>
      </c>
      <c r="J1" t="s">
        <v>10</v>
      </c>
      <c r="K1" t="s">
        <v>13</v>
      </c>
      <c r="L1" t="s">
        <v>14</v>
      </c>
      <c r="M1" t="s">
        <v>7</v>
      </c>
      <c r="N1" t="s">
        <v>8</v>
      </c>
      <c r="O1" t="s">
        <v>11</v>
      </c>
      <c r="P1" t="s">
        <v>20</v>
      </c>
      <c r="Q1" t="s">
        <v>15</v>
      </c>
      <c r="R1" t="s">
        <v>16</v>
      </c>
    </row>
    <row r="2" spans="1:18" x14ac:dyDescent="0.3">
      <c r="A2" t="s">
        <v>12</v>
      </c>
      <c r="B2">
        <v>0.82199999999999995</v>
      </c>
      <c r="C2">
        <v>0.53400000000000003</v>
      </c>
      <c r="D2">
        <v>0.497</v>
      </c>
      <c r="E2">
        <v>0.17</v>
      </c>
      <c r="F2">
        <v>0.2</v>
      </c>
      <c r="G2">
        <f>2*(B2-C2)</f>
        <v>0.57599999999999985</v>
      </c>
      <c r="H2">
        <f>2*(B2-C2)/(1-F2)</f>
        <v>0.71999999999999975</v>
      </c>
      <c r="I2">
        <f>B2-G2</f>
        <v>0.24600000000000011</v>
      </c>
      <c r="J2">
        <f>B2-H2</f>
        <v>0.1020000000000002</v>
      </c>
      <c r="K2">
        <f>SQRT(G2)/SQRT(I2)</f>
        <v>1.5301841113520114</v>
      </c>
      <c r="L2">
        <f>SQRT(H2)/SQRT(J2)</f>
        <v>2.6568446566202826</v>
      </c>
      <c r="M2">
        <f>2*(D2-E2)</f>
        <v>0.65399999999999991</v>
      </c>
      <c r="N2">
        <f>2*(D2-E2)/(1+F2)</f>
        <v>0.54499999999999993</v>
      </c>
      <c r="O2">
        <f>E2</f>
        <v>0.17</v>
      </c>
      <c r="P2">
        <f>O2</f>
        <v>0.17</v>
      </c>
      <c r="Q2">
        <f>SQRT(M2)/SQRT(O2)</f>
        <v>1.9613920626762542</v>
      </c>
      <c r="R2">
        <f>SQRT(N2)/SQRT(P2)</f>
        <v>1.7904977947322849</v>
      </c>
    </row>
    <row r="3" spans="1:18" x14ac:dyDescent="0.3">
      <c r="A3" t="s">
        <v>17</v>
      </c>
      <c r="B3">
        <v>0.86299999999999999</v>
      </c>
      <c r="C3">
        <v>0.48699999999999999</v>
      </c>
      <c r="D3">
        <v>0.48099999999999998</v>
      </c>
      <c r="E3">
        <v>0.14899999999999999</v>
      </c>
      <c r="F3">
        <v>0.2</v>
      </c>
      <c r="G3">
        <f>2*(B3-C3)</f>
        <v>0.752</v>
      </c>
      <c r="H3">
        <f>2*(B3-C3)/(1-F3)</f>
        <v>0.94</v>
      </c>
      <c r="I3">
        <f>B3-G3</f>
        <v>0.11099999999999999</v>
      </c>
      <c r="J3">
        <f>B3-H3</f>
        <v>-7.6999999999999957E-2</v>
      </c>
      <c r="K3">
        <f>SQRT(G3)/SQRT(I3)</f>
        <v>2.602839752035222</v>
      </c>
      <c r="L3" t="e">
        <f>SQRT(H3)/SQRT(J3)</f>
        <v>#NUM!</v>
      </c>
      <c r="M3">
        <f>2*(D3-E3)</f>
        <v>0.66399999999999992</v>
      </c>
      <c r="N3">
        <f>2*(D3-E3)/(1+F3)</f>
        <v>0.55333333333333334</v>
      </c>
      <c r="O3">
        <f>E3</f>
        <v>0.14899999999999999</v>
      </c>
      <c r="P3">
        <f>O3</f>
        <v>0.14899999999999999</v>
      </c>
      <c r="Q3">
        <f>SQRT(M3)/SQRT(O3)</f>
        <v>2.1110129888103897</v>
      </c>
      <c r="R3">
        <f>SQRT(N3)/SQRT(P3)</f>
        <v>1.9270823885964188</v>
      </c>
    </row>
    <row r="4" spans="1:18" x14ac:dyDescent="0.3">
      <c r="A4" t="s">
        <v>0</v>
      </c>
      <c r="B4">
        <f>(0.8+0.79)/2</f>
        <v>0.79500000000000004</v>
      </c>
      <c r="C4">
        <f>(0.51+0.48)/2</f>
        <v>0.495</v>
      </c>
      <c r="D4">
        <v>0.34</v>
      </c>
      <c r="E4">
        <v>0.16</v>
      </c>
      <c r="F4">
        <v>0.2</v>
      </c>
      <c r="G4">
        <f>2*(B4-C4)</f>
        <v>0.60000000000000009</v>
      </c>
      <c r="H4">
        <f>2*(B4-C4)/(1-F4)</f>
        <v>0.75000000000000011</v>
      </c>
      <c r="I4">
        <f>B4-G4</f>
        <v>0.19499999999999995</v>
      </c>
      <c r="J4">
        <f>B4-H4</f>
        <v>4.4999999999999929E-2</v>
      </c>
      <c r="K4">
        <f>SQRT(G4)/SQRT(I4)</f>
        <v>1.7541160386140586</v>
      </c>
      <c r="L4">
        <f>SQRT(H4)/SQRT(J4)</f>
        <v>4.0824829046386339</v>
      </c>
      <c r="M4">
        <f>2*(D4-E4)</f>
        <v>0.36000000000000004</v>
      </c>
      <c r="N4">
        <f>2*(D4-E4)/(1+F4)</f>
        <v>0.30000000000000004</v>
      </c>
      <c r="O4">
        <f>E4</f>
        <v>0.16</v>
      </c>
      <c r="P4">
        <f>O4</f>
        <v>0.16</v>
      </c>
      <c r="Q4">
        <f>SQRT(M4)/SQRT(O4)</f>
        <v>1.5000000000000002</v>
      </c>
      <c r="R4">
        <f>SQRT(N4)/SQRT(P4)</f>
        <v>1.3693063937629153</v>
      </c>
    </row>
    <row r="6" spans="1:18" x14ac:dyDescent="0.3">
      <c r="A6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Srivinay Tummarakota</dc:creator>
  <cp:lastModifiedBy>Srivinay Tummarakota</cp:lastModifiedBy>
  <dcterms:created xsi:type="dcterms:W3CDTF">2015-06-05T18:17:20Z</dcterms:created>
  <dcterms:modified xsi:type="dcterms:W3CDTF">2025-11-24T19:38:34Z</dcterms:modified>
</cp:coreProperties>
</file>